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590" activeTab="1"/>
  </bookViews>
  <sheets>
    <sheet name="Sheet4" sheetId="4" r:id="rId1"/>
    <sheet name="Sheet1" sheetId="1" r:id="rId2"/>
    <sheet name="Sheet2" sheetId="2" r:id="rId3"/>
    <sheet name="Sheet3" sheetId="3" r:id="rId4"/>
  </sheets>
  <calcPr calcId="144525"/>
  <pivotCaches>
    <pivotCache cacheId="0" r:id="rId5"/>
  </pivotCaches>
</workbook>
</file>

<file path=xl/calcChain.xml><?xml version="1.0" encoding="utf-8"?>
<calcChain xmlns="http://schemas.openxmlformats.org/spreadsheetml/2006/main">
  <c r="J8" i="1" l="1"/>
  <c r="O10" i="1" l="1"/>
  <c r="O7" i="1"/>
  <c r="M19" i="1"/>
  <c r="M16" i="1"/>
  <c r="M13" i="1"/>
  <c r="M10" i="1"/>
  <c r="K16" i="1"/>
  <c r="K19" i="1"/>
  <c r="K13" i="1"/>
  <c r="K10" i="1"/>
  <c r="K7" i="1"/>
  <c r="M7" i="1"/>
  <c r="F8" i="1"/>
  <c r="F9" i="1"/>
  <c r="F10" i="1"/>
  <c r="F11" i="1"/>
  <c r="F12" i="1"/>
  <c r="I12" i="1" s="1"/>
  <c r="F13" i="1"/>
  <c r="F14" i="1"/>
  <c r="F15" i="1"/>
  <c r="F16" i="1"/>
  <c r="F17" i="1"/>
  <c r="F18" i="1"/>
  <c r="F19" i="1"/>
  <c r="F20" i="1"/>
  <c r="I20" i="1" s="1"/>
  <c r="I6" i="1"/>
  <c r="J9" i="1"/>
  <c r="J10" i="1"/>
  <c r="J11" i="1"/>
  <c r="J12" i="1"/>
  <c r="J13" i="1"/>
  <c r="J14" i="1"/>
  <c r="J15" i="1"/>
  <c r="J16" i="1"/>
  <c r="J17" i="1"/>
  <c r="J18" i="1"/>
  <c r="J19" i="1"/>
  <c r="J20" i="1"/>
  <c r="I11" i="1"/>
  <c r="I13" i="1"/>
  <c r="I7" i="1"/>
  <c r="I8" i="1"/>
  <c r="I10" i="1"/>
  <c r="I14" i="1"/>
  <c r="I15" i="1"/>
  <c r="I17" i="1"/>
  <c r="I18" i="1"/>
  <c r="I19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6" i="1"/>
  <c r="F7" i="1"/>
</calcChain>
</file>

<file path=xl/sharedStrings.xml><?xml version="1.0" encoding="utf-8"?>
<sst xmlns="http://schemas.openxmlformats.org/spreadsheetml/2006/main" count="64" uniqueCount="49">
  <si>
    <t>Roll No</t>
  </si>
  <si>
    <t>Student Name</t>
  </si>
  <si>
    <t>English</t>
  </si>
  <si>
    <t>Urdu</t>
  </si>
  <si>
    <t>Math</t>
  </si>
  <si>
    <t>Ali</t>
  </si>
  <si>
    <t>Ahmed</t>
  </si>
  <si>
    <t>Hassan</t>
  </si>
  <si>
    <t>Usman</t>
  </si>
  <si>
    <t>Bilal</t>
  </si>
  <si>
    <t>Salman</t>
  </si>
  <si>
    <t>Hamza</t>
  </si>
  <si>
    <t>Saad</t>
  </si>
  <si>
    <t>Ayaan</t>
  </si>
  <si>
    <t>Zain</t>
  </si>
  <si>
    <t>Imran</t>
  </si>
  <si>
    <t>Farhan</t>
  </si>
  <si>
    <t>Danish</t>
  </si>
  <si>
    <t>Rizwan</t>
  </si>
  <si>
    <t>Shahzaib</t>
  </si>
  <si>
    <t>total</t>
  </si>
  <si>
    <t>pass/fail</t>
  </si>
  <si>
    <t>grad</t>
  </si>
  <si>
    <t>percentage</t>
  </si>
  <si>
    <t>(All)</t>
  </si>
  <si>
    <t>pass</t>
  </si>
  <si>
    <t>Grand Total</t>
  </si>
  <si>
    <t>Row Labels</t>
  </si>
  <si>
    <t>Sum of Roll No</t>
  </si>
  <si>
    <t>Sum of English</t>
  </si>
  <si>
    <t>Sum of Urdu</t>
  </si>
  <si>
    <t>Sum of Math</t>
  </si>
  <si>
    <t>Count of grad</t>
  </si>
  <si>
    <t>Count of percentage</t>
  </si>
  <si>
    <t>result sheet</t>
  </si>
  <si>
    <t>formula`s</t>
  </si>
  <si>
    <t>1 vlookup</t>
  </si>
  <si>
    <t>2min formula</t>
  </si>
  <si>
    <t>3max formula</t>
  </si>
  <si>
    <t>4avrage</t>
  </si>
  <si>
    <t>5counta formula</t>
  </si>
  <si>
    <t>6countif formula</t>
  </si>
  <si>
    <t>7sumif</t>
  </si>
  <si>
    <t>8mid formula</t>
  </si>
  <si>
    <t>9upper formula</t>
  </si>
  <si>
    <t>10iower formula</t>
  </si>
  <si>
    <t>11text formula</t>
  </si>
  <si>
    <t>12row formula</t>
  </si>
  <si>
    <t>13colum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</si>
</sst>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48"/>
      <color theme="3" tint="0.39997558519241921"/>
      <name val="Calibri"/>
      <family val="2"/>
      <scheme val="minor"/>
    </font>
    <font>
      <b/>
      <i/>
      <u/>
      <sz val="36"/>
      <color theme="3" tint="0.39997558519241921"/>
      <name val="Calibri"/>
      <family val="2"/>
      <scheme val="minor"/>
    </font>
    <font>
      <b/>
      <i/>
      <u/>
      <sz val="11"/>
      <color theme="3" tint="0.3999755851924192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/>
    <xf numFmtId="9" fontId="0" fillId="2" borderId="1" xfId="0" applyNumberFormat="1" applyFill="1" applyBorder="1" applyAlignment="1">
      <alignment horizontal="left" vertical="center"/>
    </xf>
    <xf numFmtId="9" fontId="0" fillId="2" borderId="1" xfId="0" applyNumberFormat="1" applyFill="1" applyBorder="1" applyAlignment="1">
      <alignment horizontal="left"/>
    </xf>
    <xf numFmtId="0" fontId="0" fillId="2" borderId="2" xfId="0" applyFill="1" applyBorder="1"/>
    <xf numFmtId="0" fontId="5" fillId="2" borderId="1" xfId="0" applyFont="1" applyFill="1" applyBorder="1"/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jakashif" refreshedDate="46048.785054513886" createdVersion="4" refreshedVersion="4" minRefreshableVersion="3" recordCount="15">
  <cacheSource type="worksheet">
    <worksheetSource ref="A5:I20" sheet="Sheet1"/>
  </cacheSource>
  <cacheFields count="9">
    <cacheField name="Roll No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Student Name" numFmtId="0">
      <sharedItems count="15">
        <s v="Ali"/>
        <s v="Ahmed"/>
        <s v="Hassan"/>
        <s v="Usman"/>
        <s v="Bilal"/>
        <s v="Salman"/>
        <s v="Hamza"/>
        <s v="Saad"/>
        <s v="Ayaan"/>
        <s v="Zain"/>
        <s v="Imran"/>
        <s v="Farhan"/>
        <s v="Danish"/>
        <s v="Rizwan"/>
        <s v="Shahzaib"/>
      </sharedItems>
    </cacheField>
    <cacheField name="English" numFmtId="0">
      <sharedItems containsSemiMixedTypes="0" containsString="0" containsNumber="1" containsInteger="1" minValue="55" maxValue="92" count="15">
        <n v="78"/>
        <n v="65"/>
        <n v="82"/>
        <n v="55"/>
        <n v="90"/>
        <n v="70"/>
        <n v="88"/>
        <n v="62"/>
        <n v="74"/>
        <n v="81"/>
        <n v="59"/>
        <n v="86"/>
        <n v="68"/>
        <n v="77"/>
        <n v="92"/>
      </sharedItems>
    </cacheField>
    <cacheField name="Urdu" numFmtId="0">
      <sharedItems containsSemiMixedTypes="0" containsString="0" containsNumber="1" containsInteger="1" minValue="60" maxValue="89"/>
    </cacheField>
    <cacheField name="Math" numFmtId="0">
      <sharedItems containsSemiMixedTypes="0" containsString="0" containsNumber="1" containsInteger="1" minValue="58" maxValue="95"/>
    </cacheField>
    <cacheField name="total" numFmtId="0">
      <sharedItems containsSemiMixedTypes="0" containsString="0" containsNumber="1" containsInteger="1" minValue="173" maxValue="276" count="15">
        <n v="235"/>
        <n v="203"/>
        <n v="245"/>
        <n v="173"/>
        <n v="267"/>
        <n v="219"/>
        <n v="258"/>
        <n v="194"/>
        <n v="216"/>
        <n v="243"/>
        <n v="183"/>
        <n v="256"/>
        <n v="204"/>
        <n v="230"/>
        <n v="276"/>
      </sharedItems>
    </cacheField>
    <cacheField name="pass/fail" numFmtId="0">
      <sharedItems count="2">
        <s v="pass"/>
        <s v="fail"/>
      </sharedItems>
    </cacheField>
    <cacheField name="grad" numFmtId="0">
      <sharedItems/>
    </cacheField>
    <cacheField name="percentage" numFmtId="0">
      <sharedItems containsMixedTypes="1" containsNumber="1" minValue="0.6" maxValue="0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n v="72"/>
    <n v="85"/>
    <x v="0"/>
    <x v="0"/>
    <s v="A"/>
    <s v="80%"/>
  </r>
  <r>
    <x v="1"/>
    <x v="1"/>
    <x v="1"/>
    <n v="68"/>
    <n v="70"/>
    <x v="1"/>
    <x v="0"/>
    <s v="A"/>
    <s v="80%"/>
  </r>
  <r>
    <x v="2"/>
    <x v="2"/>
    <x v="2"/>
    <n v="75"/>
    <n v="88"/>
    <x v="2"/>
    <x v="0"/>
    <s v="A"/>
    <s v="80%"/>
  </r>
  <r>
    <x v="3"/>
    <x v="3"/>
    <x v="3"/>
    <n v="60"/>
    <n v="58"/>
    <x v="3"/>
    <x v="1"/>
    <s v="B"/>
    <n v="0.6"/>
  </r>
  <r>
    <x v="4"/>
    <x v="4"/>
    <x v="4"/>
    <n v="85"/>
    <n v="92"/>
    <x v="4"/>
    <x v="0"/>
    <s v="A"/>
    <s v="80%"/>
  </r>
  <r>
    <x v="5"/>
    <x v="5"/>
    <x v="5"/>
    <n v="73"/>
    <n v="76"/>
    <x v="5"/>
    <x v="0"/>
    <s v="A"/>
    <s v="80%"/>
  </r>
  <r>
    <x v="6"/>
    <x v="6"/>
    <x v="6"/>
    <n v="80"/>
    <n v="90"/>
    <x v="6"/>
    <x v="0"/>
    <s v="A"/>
    <s v="80%"/>
  </r>
  <r>
    <x v="7"/>
    <x v="7"/>
    <x v="7"/>
    <n v="65"/>
    <n v="67"/>
    <x v="7"/>
    <x v="0"/>
    <s v="A"/>
    <s v="80%"/>
  </r>
  <r>
    <x v="8"/>
    <x v="8"/>
    <x v="8"/>
    <n v="70"/>
    <n v="72"/>
    <x v="8"/>
    <x v="0"/>
    <s v="A"/>
    <s v="80%"/>
  </r>
  <r>
    <x v="9"/>
    <x v="9"/>
    <x v="9"/>
    <n v="78"/>
    <n v="84"/>
    <x v="9"/>
    <x v="0"/>
    <s v="A"/>
    <s v="80%"/>
  </r>
  <r>
    <x v="10"/>
    <x v="10"/>
    <x v="10"/>
    <n v="63"/>
    <n v="61"/>
    <x v="10"/>
    <x v="1"/>
    <s v="B"/>
    <n v="0.6"/>
  </r>
  <r>
    <x v="11"/>
    <x v="11"/>
    <x v="11"/>
    <n v="82"/>
    <n v="88"/>
    <x v="11"/>
    <x v="0"/>
    <s v="A"/>
    <s v="80%"/>
  </r>
  <r>
    <x v="12"/>
    <x v="12"/>
    <x v="12"/>
    <n v="66"/>
    <n v="70"/>
    <x v="12"/>
    <x v="0"/>
    <s v="A"/>
    <s v="80%"/>
  </r>
  <r>
    <x v="13"/>
    <x v="13"/>
    <x v="13"/>
    <n v="74"/>
    <n v="79"/>
    <x v="13"/>
    <x v="0"/>
    <s v="A"/>
    <s v="80%"/>
  </r>
  <r>
    <x v="14"/>
    <x v="14"/>
    <x v="14"/>
    <n v="89"/>
    <n v="95"/>
    <x v="14"/>
    <x v="0"/>
    <s v="A"/>
    <s v="80%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4:G18" firstHeaderRow="0" firstDataRow="1" firstDataCol="1" rowPageCount="2" colPageCount="1"/>
  <pivotFields count="9"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16">
        <item x="1"/>
        <item x="0"/>
        <item x="8"/>
        <item x="4"/>
        <item x="12"/>
        <item x="11"/>
        <item x="6"/>
        <item x="2"/>
        <item x="10"/>
        <item x="13"/>
        <item x="7"/>
        <item x="5"/>
        <item x="14"/>
        <item x="3"/>
        <item x="9"/>
        <item t="default"/>
      </items>
    </pivotField>
    <pivotField dataField="1" showAll="0">
      <items count="16">
        <item x="3"/>
        <item x="10"/>
        <item x="7"/>
        <item x="1"/>
        <item x="12"/>
        <item x="5"/>
        <item x="8"/>
        <item x="13"/>
        <item x="0"/>
        <item x="9"/>
        <item x="2"/>
        <item x="11"/>
        <item x="6"/>
        <item x="4"/>
        <item x="14"/>
        <item t="default"/>
      </items>
    </pivotField>
    <pivotField dataField="1" showAll="0"/>
    <pivotField dataField="1" showAll="0"/>
    <pivotField axis="axisPage" multipleItemSelectionAllowed="1" showAll="0">
      <items count="16">
        <item x="3"/>
        <item x="10"/>
        <item x="7"/>
        <item x="1"/>
        <item x="12"/>
        <item x="8"/>
        <item x="5"/>
        <item x="13"/>
        <item x="0"/>
        <item x="9"/>
        <item x="2"/>
        <item x="11"/>
        <item x="6"/>
        <item x="4"/>
        <item x="14"/>
        <item t="default"/>
      </items>
    </pivotField>
    <pivotField axis="axisPage" showAll="0">
      <items count="3">
        <item x="1"/>
        <item x="0"/>
        <item t="default"/>
      </items>
    </pivotField>
    <pivotField dataField="1" showAll="0"/>
    <pivotField dataField="1"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>
      <x v="1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6" item="1" hier="-1"/>
    <pageField fld="5" hier="-1"/>
  </pageFields>
  <dataFields count="6">
    <dataField name="Sum of Roll No" fld="0" baseField="0" baseItem="0"/>
    <dataField name="Sum of English" fld="2" baseField="0" baseItem="0"/>
    <dataField name="Sum of Urdu" fld="3" baseField="0" baseItem="0"/>
    <dataField name="Sum of Math" fld="4" baseField="0" baseItem="0"/>
    <dataField name="Count of percentage" fld="8" subtotal="count" baseField="0" baseItem="0"/>
    <dataField name="Count of grad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E16" sqref="E16"/>
    </sheetView>
  </sheetViews>
  <sheetFormatPr defaultRowHeight="14.5" x14ac:dyDescent="0.35"/>
  <cols>
    <col min="1" max="1" width="12.36328125" bestFit="1" customWidth="1"/>
    <col min="2" max="2" width="13.08984375" bestFit="1" customWidth="1"/>
    <col min="3" max="3" width="13" customWidth="1"/>
    <col min="4" max="4" width="11.26953125" customWidth="1"/>
    <col min="5" max="5" width="11.6328125" customWidth="1"/>
    <col min="6" max="6" width="18.08984375" customWidth="1"/>
    <col min="7" max="7" width="12.26953125" customWidth="1"/>
    <col min="8" max="14" width="2.81640625" customWidth="1"/>
    <col min="15" max="15" width="10.7265625" bestFit="1" customWidth="1"/>
  </cols>
  <sheetData>
    <row r="1" spans="1:7" x14ac:dyDescent="0.35">
      <c r="A1" s="1" t="s">
        <v>21</v>
      </c>
      <c r="B1" t="s">
        <v>25</v>
      </c>
    </row>
    <row r="2" spans="1:7" x14ac:dyDescent="0.35">
      <c r="A2" s="1" t="s">
        <v>20</v>
      </c>
      <c r="B2" t="s">
        <v>24</v>
      </c>
    </row>
    <row r="4" spans="1:7" x14ac:dyDescent="0.35">
      <c r="A4" s="1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33</v>
      </c>
      <c r="G4" t="s">
        <v>32</v>
      </c>
    </row>
    <row r="5" spans="1:7" x14ac:dyDescent="0.35">
      <c r="A5" s="2" t="s">
        <v>6</v>
      </c>
      <c r="B5" s="3">
        <v>2</v>
      </c>
      <c r="C5" s="3">
        <v>65</v>
      </c>
      <c r="D5" s="3">
        <v>68</v>
      </c>
      <c r="E5" s="3">
        <v>70</v>
      </c>
      <c r="F5" s="3">
        <v>1</v>
      </c>
      <c r="G5" s="3">
        <v>1</v>
      </c>
    </row>
    <row r="6" spans="1:7" x14ac:dyDescent="0.35">
      <c r="A6" s="2" t="s">
        <v>5</v>
      </c>
      <c r="B6" s="3">
        <v>1</v>
      </c>
      <c r="C6" s="3">
        <v>78</v>
      </c>
      <c r="D6" s="3">
        <v>72</v>
      </c>
      <c r="E6" s="3">
        <v>85</v>
      </c>
      <c r="F6" s="3">
        <v>1</v>
      </c>
      <c r="G6" s="3">
        <v>1</v>
      </c>
    </row>
    <row r="7" spans="1:7" x14ac:dyDescent="0.35">
      <c r="A7" s="2" t="s">
        <v>13</v>
      </c>
      <c r="B7" s="3">
        <v>9</v>
      </c>
      <c r="C7" s="3">
        <v>74</v>
      </c>
      <c r="D7" s="3">
        <v>70</v>
      </c>
      <c r="E7" s="3">
        <v>72</v>
      </c>
      <c r="F7" s="3">
        <v>1</v>
      </c>
      <c r="G7" s="3">
        <v>1</v>
      </c>
    </row>
    <row r="8" spans="1:7" x14ac:dyDescent="0.35">
      <c r="A8" s="2" t="s">
        <v>9</v>
      </c>
      <c r="B8" s="3">
        <v>5</v>
      </c>
      <c r="C8" s="3">
        <v>90</v>
      </c>
      <c r="D8" s="3">
        <v>85</v>
      </c>
      <c r="E8" s="3">
        <v>92</v>
      </c>
      <c r="F8" s="3">
        <v>1</v>
      </c>
      <c r="G8" s="3">
        <v>1</v>
      </c>
    </row>
    <row r="9" spans="1:7" x14ac:dyDescent="0.35">
      <c r="A9" s="2" t="s">
        <v>17</v>
      </c>
      <c r="B9" s="3">
        <v>13</v>
      </c>
      <c r="C9" s="3">
        <v>68</v>
      </c>
      <c r="D9" s="3">
        <v>66</v>
      </c>
      <c r="E9" s="3">
        <v>70</v>
      </c>
      <c r="F9" s="3">
        <v>1</v>
      </c>
      <c r="G9" s="3">
        <v>1</v>
      </c>
    </row>
    <row r="10" spans="1:7" x14ac:dyDescent="0.35">
      <c r="A10" s="2" t="s">
        <v>16</v>
      </c>
      <c r="B10" s="3">
        <v>12</v>
      </c>
      <c r="C10" s="3">
        <v>86</v>
      </c>
      <c r="D10" s="3">
        <v>82</v>
      </c>
      <c r="E10" s="3">
        <v>88</v>
      </c>
      <c r="F10" s="3">
        <v>1</v>
      </c>
      <c r="G10" s="3">
        <v>1</v>
      </c>
    </row>
    <row r="11" spans="1:7" x14ac:dyDescent="0.35">
      <c r="A11" s="2" t="s">
        <v>11</v>
      </c>
      <c r="B11" s="3">
        <v>7</v>
      </c>
      <c r="C11" s="3">
        <v>88</v>
      </c>
      <c r="D11" s="3">
        <v>80</v>
      </c>
      <c r="E11" s="3">
        <v>90</v>
      </c>
      <c r="F11" s="3">
        <v>1</v>
      </c>
      <c r="G11" s="3">
        <v>1</v>
      </c>
    </row>
    <row r="12" spans="1:7" x14ac:dyDescent="0.35">
      <c r="A12" s="2" t="s">
        <v>7</v>
      </c>
      <c r="B12" s="3">
        <v>3</v>
      </c>
      <c r="C12" s="3">
        <v>82</v>
      </c>
      <c r="D12" s="3">
        <v>75</v>
      </c>
      <c r="E12" s="3">
        <v>88</v>
      </c>
      <c r="F12" s="3">
        <v>1</v>
      </c>
      <c r="G12" s="3">
        <v>1</v>
      </c>
    </row>
    <row r="13" spans="1:7" x14ac:dyDescent="0.35">
      <c r="A13" s="2" t="s">
        <v>18</v>
      </c>
      <c r="B13" s="3">
        <v>14</v>
      </c>
      <c r="C13" s="3">
        <v>77</v>
      </c>
      <c r="D13" s="3">
        <v>74</v>
      </c>
      <c r="E13" s="3">
        <v>79</v>
      </c>
      <c r="F13" s="3">
        <v>1</v>
      </c>
      <c r="G13" s="3">
        <v>1</v>
      </c>
    </row>
    <row r="14" spans="1:7" x14ac:dyDescent="0.35">
      <c r="A14" s="2" t="s">
        <v>12</v>
      </c>
      <c r="B14" s="3">
        <v>8</v>
      </c>
      <c r="C14" s="3">
        <v>62</v>
      </c>
      <c r="D14" s="3">
        <v>65</v>
      </c>
      <c r="E14" s="3">
        <v>67</v>
      </c>
      <c r="F14" s="3">
        <v>1</v>
      </c>
      <c r="G14" s="3">
        <v>1</v>
      </c>
    </row>
    <row r="15" spans="1:7" x14ac:dyDescent="0.35">
      <c r="A15" s="2" t="s">
        <v>10</v>
      </c>
      <c r="B15" s="3">
        <v>6</v>
      </c>
      <c r="C15" s="3">
        <v>70</v>
      </c>
      <c r="D15" s="3">
        <v>73</v>
      </c>
      <c r="E15" s="3">
        <v>76</v>
      </c>
      <c r="F15" s="3">
        <v>1</v>
      </c>
      <c r="G15" s="3">
        <v>1</v>
      </c>
    </row>
    <row r="16" spans="1:7" x14ac:dyDescent="0.35">
      <c r="A16" s="2" t="s">
        <v>19</v>
      </c>
      <c r="B16" s="3">
        <v>15</v>
      </c>
      <c r="C16" s="3">
        <v>92</v>
      </c>
      <c r="D16" s="3">
        <v>89</v>
      </c>
      <c r="E16" s="3">
        <v>95</v>
      </c>
      <c r="F16" s="3">
        <v>1</v>
      </c>
      <c r="G16" s="3">
        <v>1</v>
      </c>
    </row>
    <row r="17" spans="1:7" x14ac:dyDescent="0.35">
      <c r="A17" s="2" t="s">
        <v>14</v>
      </c>
      <c r="B17" s="3">
        <v>10</v>
      </c>
      <c r="C17" s="3">
        <v>81</v>
      </c>
      <c r="D17" s="3">
        <v>78</v>
      </c>
      <c r="E17" s="3">
        <v>84</v>
      </c>
      <c r="F17" s="3">
        <v>1</v>
      </c>
      <c r="G17" s="3">
        <v>1</v>
      </c>
    </row>
    <row r="18" spans="1:7" x14ac:dyDescent="0.35">
      <c r="A18" s="2" t="s">
        <v>26</v>
      </c>
      <c r="B18" s="3">
        <v>105</v>
      </c>
      <c r="C18" s="3">
        <v>1013</v>
      </c>
      <c r="D18" s="3">
        <v>977</v>
      </c>
      <c r="E18" s="3">
        <v>1056</v>
      </c>
      <c r="F18" s="3">
        <v>13</v>
      </c>
      <c r="G18" s="3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zoomScale="81" zoomScaleNormal="81" workbookViewId="0">
      <selection activeCell="M10" sqref="M10"/>
    </sheetView>
  </sheetViews>
  <sheetFormatPr defaultRowHeight="14.5" x14ac:dyDescent="0.35"/>
  <cols>
    <col min="10" max="10" width="17.6328125" customWidth="1"/>
    <col min="11" max="11" width="17.453125" customWidth="1"/>
    <col min="12" max="13" width="17.1796875" customWidth="1"/>
    <col min="14" max="14" width="0.1796875" customWidth="1"/>
    <col min="15" max="15" width="17.36328125" customWidth="1"/>
  </cols>
  <sheetData>
    <row r="1" spans="1:15" x14ac:dyDescent="0.35">
      <c r="B1" s="4" t="s">
        <v>34</v>
      </c>
      <c r="C1" s="5"/>
      <c r="D1" s="5"/>
      <c r="E1" s="5"/>
      <c r="F1" s="5"/>
      <c r="G1" s="5"/>
      <c r="H1" s="6"/>
    </row>
    <row r="2" spans="1:15" ht="15" thickBot="1" x14ac:dyDescent="0.4">
      <c r="B2" s="7"/>
      <c r="C2" s="8"/>
      <c r="D2" s="8"/>
      <c r="E2" s="8"/>
      <c r="F2" s="8"/>
      <c r="G2" s="8"/>
      <c r="H2" s="9"/>
    </row>
    <row r="3" spans="1:15" x14ac:dyDescent="0.35">
      <c r="B3" s="7"/>
      <c r="C3" s="8"/>
      <c r="D3" s="8"/>
      <c r="E3" s="8"/>
      <c r="F3" s="8"/>
      <c r="G3" s="8"/>
      <c r="H3" s="9"/>
      <c r="J3" s="13" t="s">
        <v>35</v>
      </c>
      <c r="K3" s="14"/>
      <c r="L3" s="14"/>
      <c r="M3" s="14"/>
      <c r="N3" s="14"/>
      <c r="O3" s="15"/>
    </row>
    <row r="4" spans="1:15" ht="15" thickBot="1" x14ac:dyDescent="0.4">
      <c r="B4" s="10"/>
      <c r="C4" s="11"/>
      <c r="D4" s="11"/>
      <c r="E4" s="11"/>
      <c r="F4" s="11"/>
      <c r="G4" s="11"/>
      <c r="H4" s="12"/>
      <c r="J4" s="16"/>
      <c r="K4" s="17"/>
      <c r="L4" s="17"/>
      <c r="M4" s="17"/>
      <c r="N4" s="17"/>
      <c r="O4" s="18"/>
    </row>
    <row r="5" spans="1:15" ht="29.5" thickBot="1" x14ac:dyDescent="0.4">
      <c r="A5" s="22" t="s">
        <v>0</v>
      </c>
      <c r="B5" s="23" t="s">
        <v>1</v>
      </c>
      <c r="C5" s="23" t="s">
        <v>2</v>
      </c>
      <c r="D5" s="23" t="s">
        <v>3</v>
      </c>
      <c r="E5" s="23" t="s">
        <v>4</v>
      </c>
      <c r="F5" s="23" t="s">
        <v>20</v>
      </c>
      <c r="G5" s="23" t="s">
        <v>21</v>
      </c>
      <c r="H5" s="23" t="s">
        <v>22</v>
      </c>
      <c r="I5" s="24" t="s">
        <v>23</v>
      </c>
      <c r="J5" s="19"/>
      <c r="K5" s="20"/>
      <c r="L5" s="20"/>
      <c r="M5" s="20"/>
      <c r="N5" s="20"/>
      <c r="O5" s="21"/>
    </row>
    <row r="6" spans="1:15" x14ac:dyDescent="0.35">
      <c r="A6" s="25"/>
      <c r="B6" s="25" t="s">
        <v>5</v>
      </c>
      <c r="C6" s="25">
        <v>78</v>
      </c>
      <c r="D6" s="25">
        <v>72</v>
      </c>
      <c r="E6" s="25">
        <v>85</v>
      </c>
      <c r="F6" s="26"/>
      <c r="G6" s="26" t="str">
        <f>IF(C6&gt;=60,"pass","fail")</f>
        <v>pass</v>
      </c>
      <c r="H6" s="26" t="str">
        <f>IF(C6&gt;=60,"A","B")</f>
        <v>A</v>
      </c>
      <c r="I6" s="26" t="str">
        <f>IF(F6:F19,"80%","60%")</f>
        <v>60%</v>
      </c>
      <c r="J6" s="29" t="s">
        <v>36</v>
      </c>
      <c r="K6" s="29" t="s">
        <v>37</v>
      </c>
      <c r="L6" s="29"/>
      <c r="M6" s="29" t="s">
        <v>42</v>
      </c>
      <c r="N6" s="29"/>
      <c r="O6" s="29" t="s">
        <v>47</v>
      </c>
    </row>
    <row r="7" spans="1:15" x14ac:dyDescent="0.35">
      <c r="A7" s="25">
        <v>2</v>
      </c>
      <c r="B7" s="25" t="s">
        <v>6</v>
      </c>
      <c r="C7" s="25">
        <v>65</v>
      </c>
      <c r="D7" s="25">
        <v>68</v>
      </c>
      <c r="E7" s="25">
        <v>70</v>
      </c>
      <c r="F7" s="26">
        <f t="shared" ref="F7:F20" si="0">SUM(C7:E7)</f>
        <v>203</v>
      </c>
      <c r="G7" s="26" t="str">
        <f t="shared" ref="G7:G20" si="1">IF(C7&gt;=60,"pass","fail")</f>
        <v>pass</v>
      </c>
      <c r="H7" s="26" t="str">
        <f t="shared" ref="H7:H20" si="2">IF(C7&gt;=60,"A","B")</f>
        <v>A</v>
      </c>
      <c r="I7" s="26" t="str">
        <f t="shared" ref="I7:I20" si="3">IF(F7:F20,"80%","60%")</f>
        <v>80%</v>
      </c>
      <c r="J7" s="26"/>
      <c r="K7" s="26">
        <f>MIN(C6:F20)</f>
        <v>55</v>
      </c>
      <c r="L7" s="26"/>
      <c r="M7" s="26">
        <f>SUMIF(C6:C20,"&gt;=70",C6:C20)</f>
        <v>818</v>
      </c>
      <c r="N7" s="26"/>
      <c r="O7" s="26">
        <f>ROWS(A5:I20)</f>
        <v>16</v>
      </c>
    </row>
    <row r="8" spans="1:15" x14ac:dyDescent="0.35">
      <c r="A8" s="25">
        <v>3</v>
      </c>
      <c r="B8" s="25" t="s">
        <v>7</v>
      </c>
      <c r="C8" s="25">
        <v>82</v>
      </c>
      <c r="D8" s="25">
        <v>75</v>
      </c>
      <c r="E8" s="25">
        <v>88</v>
      </c>
      <c r="F8" s="26">
        <f t="shared" si="0"/>
        <v>245</v>
      </c>
      <c r="G8" s="26" t="str">
        <f t="shared" si="1"/>
        <v>pass</v>
      </c>
      <c r="H8" s="26" t="str">
        <f t="shared" si="2"/>
        <v>A</v>
      </c>
      <c r="I8" s="26" t="str">
        <f t="shared" si="3"/>
        <v>80%</v>
      </c>
      <c r="J8" s="26">
        <f t="shared" ref="J8:J20" si="4">VLOOKUP(A7,A6:I21,3,FALSE)</f>
        <v>65</v>
      </c>
      <c r="K8" s="26"/>
      <c r="L8" s="26"/>
      <c r="M8" s="26"/>
      <c r="N8" s="26"/>
      <c r="O8" s="26"/>
    </row>
    <row r="9" spans="1:15" ht="15.5" x14ac:dyDescent="0.35">
      <c r="A9" s="25">
        <v>4</v>
      </c>
      <c r="B9" s="25" t="s">
        <v>8</v>
      </c>
      <c r="C9" s="25">
        <v>55</v>
      </c>
      <c r="D9" s="25">
        <v>60</v>
      </c>
      <c r="E9" s="25">
        <v>58</v>
      </c>
      <c r="F9" s="26">
        <f t="shared" si="0"/>
        <v>173</v>
      </c>
      <c r="G9" s="26" t="str">
        <f t="shared" si="1"/>
        <v>fail</v>
      </c>
      <c r="H9" s="26" t="str">
        <f t="shared" si="2"/>
        <v>B</v>
      </c>
      <c r="I9" s="27">
        <v>0.6</v>
      </c>
      <c r="J9" s="26">
        <f t="shared" si="4"/>
        <v>82</v>
      </c>
      <c r="K9" s="26" t="s">
        <v>38</v>
      </c>
      <c r="L9" s="26"/>
      <c r="M9" s="26" t="s">
        <v>43</v>
      </c>
      <c r="N9" s="26"/>
      <c r="O9" s="30" t="s">
        <v>48</v>
      </c>
    </row>
    <row r="10" spans="1:15" x14ac:dyDescent="0.35">
      <c r="A10" s="25">
        <v>5</v>
      </c>
      <c r="B10" s="25" t="s">
        <v>9</v>
      </c>
      <c r="C10" s="25">
        <v>90</v>
      </c>
      <c r="D10" s="25">
        <v>85</v>
      </c>
      <c r="E10" s="25">
        <v>92</v>
      </c>
      <c r="F10" s="26">
        <f t="shared" si="0"/>
        <v>267</v>
      </c>
      <c r="G10" s="26" t="str">
        <f t="shared" si="1"/>
        <v>pass</v>
      </c>
      <c r="H10" s="26" t="str">
        <f t="shared" si="2"/>
        <v>A</v>
      </c>
      <c r="I10" s="26" t="str">
        <f t="shared" si="3"/>
        <v>80%</v>
      </c>
      <c r="J10" s="26">
        <f t="shared" si="4"/>
        <v>55</v>
      </c>
      <c r="K10" s="26">
        <f>MAX(C6:F20)</f>
        <v>276</v>
      </c>
      <c r="L10" s="26"/>
      <c r="M10" s="26" t="str">
        <f>MID(B8,3,6)</f>
        <v>ssan</v>
      </c>
      <c r="N10" s="26"/>
      <c r="O10" s="26">
        <f>COLUMNS(A5:I20)</f>
        <v>9</v>
      </c>
    </row>
    <row r="11" spans="1:15" x14ac:dyDescent="0.35">
      <c r="A11" s="25">
        <v>6</v>
      </c>
      <c r="B11" s="25" t="s">
        <v>10</v>
      </c>
      <c r="C11" s="25">
        <v>70</v>
      </c>
      <c r="D11" s="25">
        <v>73</v>
      </c>
      <c r="E11" s="25">
        <v>76</v>
      </c>
      <c r="F11" s="26">
        <f t="shared" si="0"/>
        <v>219</v>
      </c>
      <c r="G11" s="26" t="str">
        <f t="shared" si="1"/>
        <v>pass</v>
      </c>
      <c r="H11" s="26" t="str">
        <f t="shared" si="2"/>
        <v>A</v>
      </c>
      <c r="I11" s="26" t="str">
        <f t="shared" si="3"/>
        <v>80%</v>
      </c>
      <c r="J11" s="26">
        <f t="shared" si="4"/>
        <v>90</v>
      </c>
      <c r="K11" s="26"/>
      <c r="L11" s="26"/>
      <c r="M11" s="26"/>
      <c r="N11" s="26"/>
      <c r="O11" s="26"/>
    </row>
    <row r="12" spans="1:15" x14ac:dyDescent="0.35">
      <c r="A12" s="25">
        <v>7</v>
      </c>
      <c r="B12" s="25" t="s">
        <v>11</v>
      </c>
      <c r="C12" s="25">
        <v>88</v>
      </c>
      <c r="D12" s="25">
        <v>80</v>
      </c>
      <c r="E12" s="25">
        <v>90</v>
      </c>
      <c r="F12" s="26">
        <f t="shared" si="0"/>
        <v>258</v>
      </c>
      <c r="G12" s="26" t="str">
        <f t="shared" si="1"/>
        <v>pass</v>
      </c>
      <c r="H12" s="26" t="str">
        <f t="shared" si="2"/>
        <v>A</v>
      </c>
      <c r="I12" s="26" t="str">
        <f t="shared" si="3"/>
        <v>80%</v>
      </c>
      <c r="J12" s="26">
        <f t="shared" si="4"/>
        <v>70</v>
      </c>
      <c r="K12" s="26" t="s">
        <v>39</v>
      </c>
      <c r="L12" s="26"/>
      <c r="M12" s="26" t="s">
        <v>44</v>
      </c>
      <c r="N12" s="26"/>
      <c r="O12" s="26"/>
    </row>
    <row r="13" spans="1:15" x14ac:dyDescent="0.35">
      <c r="A13" s="25">
        <v>8</v>
      </c>
      <c r="B13" s="25" t="s">
        <v>12</v>
      </c>
      <c r="C13" s="25">
        <v>62</v>
      </c>
      <c r="D13" s="25">
        <v>65</v>
      </c>
      <c r="E13" s="25">
        <v>67</v>
      </c>
      <c r="F13" s="26">
        <f t="shared" si="0"/>
        <v>194</v>
      </c>
      <c r="G13" s="26" t="str">
        <f t="shared" si="1"/>
        <v>pass</v>
      </c>
      <c r="H13" s="26" t="str">
        <f t="shared" si="2"/>
        <v>A</v>
      </c>
      <c r="I13" s="26" t="str">
        <f t="shared" si="3"/>
        <v>80%</v>
      </c>
      <c r="J13" s="26">
        <f t="shared" si="4"/>
        <v>88</v>
      </c>
      <c r="K13" s="26">
        <f>AVERAGE(F7:F20)</f>
        <v>226.21428571428572</v>
      </c>
      <c r="L13" s="26"/>
      <c r="M13" s="26" t="str">
        <f>UPPER(M12)</f>
        <v>9UPPER FORMULA</v>
      </c>
      <c r="N13" s="26"/>
      <c r="O13" s="26"/>
    </row>
    <row r="14" spans="1:15" x14ac:dyDescent="0.35">
      <c r="A14" s="25">
        <v>9</v>
      </c>
      <c r="B14" s="25" t="s">
        <v>13</v>
      </c>
      <c r="C14" s="25">
        <v>74</v>
      </c>
      <c r="D14" s="25">
        <v>70</v>
      </c>
      <c r="E14" s="25">
        <v>72</v>
      </c>
      <c r="F14" s="26">
        <f t="shared" si="0"/>
        <v>216</v>
      </c>
      <c r="G14" s="26" t="str">
        <f t="shared" si="1"/>
        <v>pass</v>
      </c>
      <c r="H14" s="26" t="str">
        <f t="shared" si="2"/>
        <v>A</v>
      </c>
      <c r="I14" s="26" t="str">
        <f t="shared" si="3"/>
        <v>80%</v>
      </c>
      <c r="J14" s="26">
        <f t="shared" si="4"/>
        <v>62</v>
      </c>
      <c r="K14" s="26"/>
      <c r="L14" s="26"/>
      <c r="M14" s="26"/>
      <c r="N14" s="26"/>
      <c r="O14" s="26"/>
    </row>
    <row r="15" spans="1:15" x14ac:dyDescent="0.35">
      <c r="A15" s="25">
        <v>10</v>
      </c>
      <c r="B15" s="25" t="s">
        <v>14</v>
      </c>
      <c r="C15" s="25">
        <v>81</v>
      </c>
      <c r="D15" s="25">
        <v>78</v>
      </c>
      <c r="E15" s="25">
        <v>84</v>
      </c>
      <c r="F15" s="26">
        <f t="shared" si="0"/>
        <v>243</v>
      </c>
      <c r="G15" s="26" t="str">
        <f t="shared" si="1"/>
        <v>pass</v>
      </c>
      <c r="H15" s="26" t="str">
        <f t="shared" si="2"/>
        <v>A</v>
      </c>
      <c r="I15" s="26" t="str">
        <f t="shared" si="3"/>
        <v>80%</v>
      </c>
      <c r="J15" s="26">
        <f t="shared" si="4"/>
        <v>74</v>
      </c>
      <c r="K15" s="26" t="s">
        <v>40</v>
      </c>
      <c r="L15" s="26"/>
      <c r="M15" s="26" t="s">
        <v>45</v>
      </c>
      <c r="N15" s="26"/>
      <c r="O15" s="26"/>
    </row>
    <row r="16" spans="1:15" x14ac:dyDescent="0.35">
      <c r="A16" s="25">
        <v>11</v>
      </c>
      <c r="B16" s="25" t="s">
        <v>15</v>
      </c>
      <c r="C16" s="25">
        <v>59</v>
      </c>
      <c r="D16" s="25">
        <v>63</v>
      </c>
      <c r="E16" s="25">
        <v>61</v>
      </c>
      <c r="F16" s="26">
        <f t="shared" si="0"/>
        <v>183</v>
      </c>
      <c r="G16" s="26" t="str">
        <f t="shared" si="1"/>
        <v>fail</v>
      </c>
      <c r="H16" s="26" t="str">
        <f t="shared" si="2"/>
        <v>B</v>
      </c>
      <c r="I16" s="28">
        <v>0.6</v>
      </c>
      <c r="J16" s="26">
        <f t="shared" si="4"/>
        <v>81</v>
      </c>
      <c r="K16" s="26">
        <f>COUNTA(C6:E20)</f>
        <v>45</v>
      </c>
      <c r="L16" s="26"/>
      <c r="M16" s="26" t="str">
        <f>LOWER(M15)</f>
        <v>10iower formula</v>
      </c>
      <c r="N16" s="26"/>
      <c r="O16" s="26"/>
    </row>
    <row r="17" spans="1:15" x14ac:dyDescent="0.35">
      <c r="A17" s="25">
        <v>12</v>
      </c>
      <c r="B17" s="25" t="s">
        <v>16</v>
      </c>
      <c r="C17" s="25">
        <v>86</v>
      </c>
      <c r="D17" s="25">
        <v>82</v>
      </c>
      <c r="E17" s="25">
        <v>88</v>
      </c>
      <c r="F17" s="26">
        <f t="shared" si="0"/>
        <v>256</v>
      </c>
      <c r="G17" s="26" t="str">
        <f t="shared" si="1"/>
        <v>pass</v>
      </c>
      <c r="H17" s="26" t="str">
        <f t="shared" si="2"/>
        <v>A</v>
      </c>
      <c r="I17" s="26" t="str">
        <f t="shared" si="3"/>
        <v>80%</v>
      </c>
      <c r="J17" s="26">
        <f t="shared" si="4"/>
        <v>59</v>
      </c>
      <c r="K17" s="26"/>
      <c r="L17" s="26"/>
      <c r="M17" s="26"/>
      <c r="N17" s="26"/>
      <c r="O17" s="26"/>
    </row>
    <row r="18" spans="1:15" x14ac:dyDescent="0.35">
      <c r="A18" s="25">
        <v>13</v>
      </c>
      <c r="B18" s="25" t="s">
        <v>17</v>
      </c>
      <c r="C18" s="25">
        <v>68</v>
      </c>
      <c r="D18" s="25">
        <v>66</v>
      </c>
      <c r="E18" s="25">
        <v>70</v>
      </c>
      <c r="F18" s="26">
        <f t="shared" si="0"/>
        <v>204</v>
      </c>
      <c r="G18" s="26" t="str">
        <f t="shared" si="1"/>
        <v>pass</v>
      </c>
      <c r="H18" s="26" t="str">
        <f t="shared" si="2"/>
        <v>A</v>
      </c>
      <c r="I18" s="26" t="str">
        <f t="shared" si="3"/>
        <v>80%</v>
      </c>
      <c r="J18" s="26">
        <f t="shared" si="4"/>
        <v>86</v>
      </c>
      <c r="K18" s="26" t="s">
        <v>41</v>
      </c>
      <c r="L18" s="26"/>
      <c r="M18" s="26" t="s">
        <v>46</v>
      </c>
      <c r="N18" s="26"/>
      <c r="O18" s="26"/>
    </row>
    <row r="19" spans="1:15" x14ac:dyDescent="0.35">
      <c r="A19" s="25">
        <v>14</v>
      </c>
      <c r="B19" s="25" t="s">
        <v>18</v>
      </c>
      <c r="C19" s="25">
        <v>77</v>
      </c>
      <c r="D19" s="25">
        <v>74</v>
      </c>
      <c r="E19" s="25">
        <v>79</v>
      </c>
      <c r="F19" s="26">
        <f t="shared" si="0"/>
        <v>230</v>
      </c>
      <c r="G19" s="26" t="str">
        <f t="shared" si="1"/>
        <v>pass</v>
      </c>
      <c r="H19" s="26" t="str">
        <f t="shared" si="2"/>
        <v>A</v>
      </c>
      <c r="I19" s="26" t="str">
        <f t="shared" si="3"/>
        <v>80%</v>
      </c>
      <c r="J19" s="26">
        <f t="shared" si="4"/>
        <v>68</v>
      </c>
      <c r="K19" s="26">
        <f>COUNTIF(C6:E20,"&lt;=70")</f>
        <v>17</v>
      </c>
      <c r="L19" s="26"/>
      <c r="M19" s="26" t="str">
        <f>TEXT(B6,"dd-mm-yyyy")</f>
        <v>Ali</v>
      </c>
      <c r="N19" s="26"/>
      <c r="O19" s="26"/>
    </row>
    <row r="20" spans="1:15" x14ac:dyDescent="0.35">
      <c r="A20" s="25">
        <v>15</v>
      </c>
      <c r="B20" s="25" t="s">
        <v>19</v>
      </c>
      <c r="C20" s="25">
        <v>92</v>
      </c>
      <c r="D20" s="25">
        <v>89</v>
      </c>
      <c r="E20" s="25">
        <v>95</v>
      </c>
      <c r="F20" s="26">
        <f t="shared" si="0"/>
        <v>276</v>
      </c>
      <c r="G20" s="26" t="str">
        <f t="shared" si="1"/>
        <v>pass</v>
      </c>
      <c r="H20" s="26" t="str">
        <f t="shared" si="2"/>
        <v>A</v>
      </c>
      <c r="I20" s="26" t="str">
        <f t="shared" si="3"/>
        <v>80%</v>
      </c>
      <c r="J20" s="26">
        <f t="shared" si="4"/>
        <v>77</v>
      </c>
      <c r="K20" s="26"/>
      <c r="L20" s="26"/>
      <c r="M20" s="26"/>
      <c r="N20" s="26"/>
      <c r="O20" s="26"/>
    </row>
  </sheetData>
  <mergeCells count="2">
    <mergeCell ref="B1:H4"/>
    <mergeCell ref="J3:O5"/>
  </mergeCells>
  <conditionalFormatting sqref="C6:E20">
    <cfRule type="cellIs" dxfId="6" priority="4" operator="greaterThan">
      <formula>75</formula>
    </cfRule>
  </conditionalFormatting>
  <conditionalFormatting sqref="G6:G20">
    <cfRule type="containsText" dxfId="5" priority="3" operator="containsText" text="fail">
      <formula>NOT(ISERROR(SEARCH("fail",G6)))</formula>
    </cfRule>
  </conditionalFormatting>
  <conditionalFormatting sqref="B6:B19">
    <cfRule type="containsText" dxfId="4" priority="2" operator="containsText" text="girls">
      <formula>NOT(ISERROR(SEARCH("girls",B6)))</formula>
    </cfRule>
  </conditionalFormatting>
  <conditionalFormatting sqref="B6:B20">
    <cfRule type="containsText" dxfId="0" priority="1" operator="containsText" text="n">
      <formula>NOT(ISERROR(SEARCH("n",B6)))</formula>
    </cfRule>
  </conditionalFormatting>
  <dataValidations count="1">
    <dataValidation type="whole" allowBlank="1" showInputMessage="1" showErrorMessage="1" promptTitle="arrer " prompt="please inter the number between 100 to 200" sqref="F6:F20">
      <formula1>100</formula1>
      <formula2>200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rajakashif</dc:creator>
  <cp:lastModifiedBy>rajakashif</cp:lastModifiedBy>
  <dcterms:created xsi:type="dcterms:W3CDTF">2026-01-26T13:26:33Z</dcterms:created>
  <dcterms:modified xsi:type="dcterms:W3CDTF">2026-01-29T18:18:23Z</dcterms:modified>
</cp:coreProperties>
</file>